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360e387148b580/Documents/BIMADAYA/PO/"/>
    </mc:Choice>
  </mc:AlternateContent>
  <xr:revisionPtr revIDLastSave="0" documentId="13_ncr:1_{862D0FB8-F04F-4F75-8122-965C68A5EF92}" xr6:coauthVersionLast="47" xr6:coauthVersionMax="47" xr10:uidLastSave="{00000000-0000-0000-0000-000000000000}"/>
  <bookViews>
    <workbookView xWindow="-120" yWindow="-120" windowWidth="29040" windowHeight="15720" xr2:uid="{696E740A-22C6-49EE-A84F-6281EABC0575}"/>
  </bookViews>
  <sheets>
    <sheet name="Sheet1 (2)" sheetId="2" r:id="rId1"/>
    <sheet name="Sheet1" sheetId="1" r:id="rId2"/>
  </sheets>
  <definedNames>
    <definedName name="_xlnm.Print_Area" localSheetId="1">Sheet1!$A$1:$J$53</definedName>
    <definedName name="_xlnm.Print_Area" localSheetId="0">'Sheet1 (2)'!$A$1:$L$52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1" i="2" l="1"/>
  <c r="K22" i="2" s="1"/>
  <c r="K27" i="2" l="1"/>
  <c r="J29" i="1"/>
  <c r="J31" i="1" s="1"/>
</calcChain>
</file>

<file path=xl/sharedStrings.xml><?xml version="1.0" encoding="utf-8"?>
<sst xmlns="http://schemas.openxmlformats.org/spreadsheetml/2006/main" count="92" uniqueCount="55">
  <si>
    <t>PURCHASE ORDER</t>
  </si>
  <si>
    <t>No. : PO/BMG/VI/26/001</t>
  </si>
  <si>
    <t>Date</t>
  </si>
  <si>
    <t>Capex No.</t>
  </si>
  <si>
    <t>Currency</t>
  </si>
  <si>
    <t>Delivery Date</t>
  </si>
  <si>
    <t>Page</t>
  </si>
  <si>
    <t xml:space="preserve">: </t>
  </si>
  <si>
    <t>:</t>
  </si>
  <si>
    <t>: -</t>
  </si>
  <si>
    <t>: IDR</t>
  </si>
  <si>
    <t>: … of …</t>
  </si>
  <si>
    <t>Vendor:</t>
  </si>
  <si>
    <t>PT.</t>
  </si>
  <si>
    <t>Alamat</t>
  </si>
  <si>
    <t>Please supply the following items :</t>
  </si>
  <si>
    <t>No.</t>
  </si>
  <si>
    <t>Description of Goods</t>
  </si>
  <si>
    <t>QTY</t>
  </si>
  <si>
    <t>Satuan</t>
  </si>
  <si>
    <t>Price List</t>
  </si>
  <si>
    <t>Price</t>
  </si>
  <si>
    <t>Total</t>
  </si>
  <si>
    <t xml:space="preserve">Contact person : </t>
  </si>
  <si>
    <t>Sub Total</t>
  </si>
  <si>
    <t xml:space="preserve">Term of Payment : </t>
  </si>
  <si>
    <t>Discount</t>
  </si>
  <si>
    <t>VAT</t>
  </si>
  <si>
    <t>Freight Cost</t>
  </si>
  <si>
    <t>Remarks</t>
  </si>
  <si>
    <t>- The PO Number must appear on Delivery</t>
  </si>
  <si>
    <t xml:space="preserve">  Order and Invoice</t>
  </si>
  <si>
    <t>- For the sake of optimal communication, please</t>
  </si>
  <si>
    <t xml:space="preserve">  sign our Purchase Order and return to us by</t>
  </si>
  <si>
    <t xml:space="preserve">  fax on the same day.</t>
  </si>
  <si>
    <t>Create By</t>
  </si>
  <si>
    <t>Check By</t>
  </si>
  <si>
    <t>Approved By</t>
  </si>
  <si>
    <t>Purchasing</t>
  </si>
  <si>
    <t>Finance</t>
  </si>
  <si>
    <t>General Manager</t>
  </si>
  <si>
    <t>Direktur</t>
  </si>
  <si>
    <t>Ad Premier Jl. TB Simatupang No. 5, RT.1/RW.7, Ragunan, Ps. Minggu,</t>
  </si>
  <si>
    <t>Kota Jakarta Selatan, Daerah Khusus Ibukota Jakarta 12550</t>
  </si>
  <si>
    <t>Ruijie RG-RAP73PRO Wi-Fi 7 BE14000 14G SFP+ High Destiny Cloud Ceiling Mount Access Point</t>
  </si>
  <si>
    <t>Unit</t>
  </si>
  <si>
    <t>: 1 of 1</t>
  </si>
  <si>
    <t>Net Sub Total</t>
  </si>
  <si>
    <t>No. : PO/BMG/VII/26/006</t>
  </si>
  <si>
    <t>: 22 / 07 / 2026</t>
  </si>
  <si>
    <t xml:space="preserve">Mini PC Industrial Merk 
Touchindo Core i5 Ram 16 Gb 
SSD 256 Gb </t>
  </si>
  <si>
    <t>Rafika +62 813-8198-0096</t>
  </si>
  <si>
    <t>CBD</t>
  </si>
  <si>
    <t>PT TOUCHINDO JAYA PRATAMA</t>
  </si>
  <si>
    <t xml:space="preserve">Kota Jakarta Utara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</si>
</sst>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_(&quot;Rp&quot;* #,##0_);_(&quot;Rp&quot;* \(#,##0\);_(&quot;Rp&quot;* &quot;-&quot;_);_(@_)"/>
    <numFmt numFmtId="166" formatCode="_(* #,##0_);_(* \(#,##0\);_(* &quot;-&quot;_);_(@_)"/>
    <numFmt numFmtId="167" formatCode="&quot;Rp&quot;#,##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8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theme="3"/>
      <name val="Arial"/>
      <family val="2"/>
    </font>
    <font>
      <b/>
      <sz val="12"/>
      <color theme="3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i/>
      <u/>
      <sz val="11"/>
      <name val="Arial"/>
      <family val="2"/>
    </font>
    <font>
      <b/>
      <sz val="11"/>
      <color theme="1"/>
      <name val="Arial\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4" fillId="0" borderId="0" xfId="2" applyFont="1"/>
    <xf numFmtId="0" fontId="5" fillId="0" borderId="0" xfId="2" applyFont="1"/>
    <xf numFmtId="0" fontId="5" fillId="0" borderId="0" xfId="0" applyFont="1" applyAlignment="1">
      <alignment horizontal="left" readingOrder="2"/>
    </xf>
    <xf numFmtId="0" fontId="7" fillId="0" borderId="0" xfId="2" applyFont="1"/>
    <xf numFmtId="0" fontId="6" fillId="0" borderId="0" xfId="0" applyFont="1" applyAlignment="1">
      <alignment readingOrder="2"/>
    </xf>
    <xf numFmtId="0" fontId="4" fillId="0" borderId="0" xfId="2" applyFont="1" applyAlignment="1">
      <alignment vertical="center"/>
    </xf>
    <xf numFmtId="0" fontId="8" fillId="0" borderId="0" xfId="0" applyFont="1"/>
    <xf numFmtId="0" fontId="7" fillId="0" borderId="2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6" xfId="2" applyFont="1" applyBorder="1" applyAlignment="1">
      <alignment horizontal="left"/>
    </xf>
    <xf numFmtId="0" fontId="7" fillId="0" borderId="6" xfId="2" quotePrefix="1" applyFont="1" applyBorder="1" applyAlignment="1">
      <alignment horizontal="left"/>
    </xf>
    <xf numFmtId="0" fontId="4" fillId="0" borderId="6" xfId="2" applyFont="1" applyBorder="1" applyAlignment="1">
      <alignment horizontal="center"/>
    </xf>
    <xf numFmtId="0" fontId="9" fillId="0" borderId="4" xfId="2" applyFont="1" applyBorder="1" applyAlignment="1">
      <alignment horizontal="left"/>
    </xf>
    <xf numFmtId="0" fontId="4" fillId="0" borderId="0" xfId="2" applyFont="1" applyAlignment="1">
      <alignment horizontal="center"/>
    </xf>
    <xf numFmtId="0" fontId="7" fillId="0" borderId="9" xfId="2" applyFont="1" applyBorder="1"/>
    <xf numFmtId="9" fontId="7" fillId="0" borderId="9" xfId="2" applyNumberFormat="1" applyFont="1" applyBorder="1"/>
    <xf numFmtId="0" fontId="7" fillId="0" borderId="2" xfId="2" applyFont="1" applyBorder="1"/>
    <xf numFmtId="9" fontId="7" fillId="0" borderId="2" xfId="2" applyNumberFormat="1" applyFont="1" applyBorder="1"/>
    <xf numFmtId="0" fontId="7" fillId="0" borderId="8" xfId="2" applyFont="1" applyBorder="1"/>
    <xf numFmtId="0" fontId="4" fillId="0" borderId="1" xfId="2" applyFont="1" applyBorder="1"/>
    <xf numFmtId="0" fontId="7" fillId="0" borderId="10" xfId="2" applyFont="1" applyBorder="1"/>
    <xf numFmtId="0" fontId="9" fillId="0" borderId="0" xfId="2" applyFont="1" applyAlignment="1">
      <alignment horizontal="left"/>
    </xf>
    <xf numFmtId="0" fontId="2" fillId="0" borderId="0" xfId="0" applyFont="1"/>
    <xf numFmtId="165" fontId="7" fillId="0" borderId="8" xfId="2" applyNumberFormat="1" applyFont="1" applyBorder="1" applyAlignment="1">
      <alignment horizontal="center" vertical="center"/>
    </xf>
    <xf numFmtId="164" fontId="7" fillId="0" borderId="7" xfId="1" applyNumberFormat="1" applyFont="1" applyBorder="1" applyAlignment="1">
      <alignment vertical="center"/>
    </xf>
    <xf numFmtId="166" fontId="4" fillId="0" borderId="2" xfId="3" applyFont="1" applyBorder="1" applyAlignment="1">
      <alignment horizontal="center"/>
    </xf>
    <xf numFmtId="166" fontId="4" fillId="0" borderId="8" xfId="3" applyFont="1" applyBorder="1" applyAlignment="1">
      <alignment horizontal="center"/>
    </xf>
    <xf numFmtId="164" fontId="7" fillId="0" borderId="3" xfId="1" applyNumberFormat="1" applyFont="1" applyBorder="1" applyAlignment="1">
      <alignment vertical="center"/>
    </xf>
    <xf numFmtId="0" fontId="4" fillId="0" borderId="6" xfId="2" applyFont="1" applyBorder="1"/>
    <xf numFmtId="0" fontId="7" fillId="0" borderId="8" xfId="2" applyFont="1" applyBorder="1" applyAlignment="1">
      <alignment horizontal="center" vertical="center"/>
    </xf>
    <xf numFmtId="0" fontId="7" fillId="0" borderId="12" xfId="2" applyFont="1" applyBorder="1"/>
    <xf numFmtId="0" fontId="4" fillId="0" borderId="0" xfId="2" quotePrefix="1" applyFont="1"/>
    <xf numFmtId="0" fontId="7" fillId="0" borderId="3" xfId="2" applyFont="1" applyBorder="1" applyAlignment="1">
      <alignment horizontal="lef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5" fontId="7" fillId="0" borderId="2" xfId="2" applyNumberFormat="1" applyFont="1" applyBorder="1" applyAlignment="1">
      <alignment horizontal="center" vertical="center"/>
    </xf>
    <xf numFmtId="165" fontId="7" fillId="0" borderId="11" xfId="3" applyNumberFormat="1" applyFont="1" applyBorder="1" applyAlignment="1">
      <alignment horizontal="center"/>
    </xf>
    <xf numFmtId="165" fontId="7" fillId="0" borderId="9" xfId="3" applyNumberFormat="1" applyFont="1" applyBorder="1" applyAlignment="1">
      <alignment horizontal="center"/>
    </xf>
    <xf numFmtId="165" fontId="7" fillId="0" borderId="10" xfId="3" applyNumberFormat="1" applyFont="1" applyBorder="1" applyAlignment="1">
      <alignment horizontal="center"/>
    </xf>
    <xf numFmtId="0" fontId="3" fillId="0" borderId="2" xfId="2" applyBorder="1" applyAlignment="1">
      <alignment horizontal="center" vertical="center"/>
    </xf>
    <xf numFmtId="0" fontId="3" fillId="0" borderId="6" xfId="2" applyBorder="1" applyAlignment="1">
      <alignment horizontal="center" vertical="center"/>
    </xf>
    <xf numFmtId="167" fontId="3" fillId="0" borderId="2" xfId="2" applyNumberFormat="1" applyBorder="1" applyAlignment="1">
      <alignment horizontal="center" vertical="center"/>
    </xf>
    <xf numFmtId="167" fontId="3" fillId="0" borderId="7" xfId="1" applyNumberFormat="1" applyFont="1" applyBorder="1" applyAlignment="1">
      <alignment vertical="center"/>
    </xf>
    <xf numFmtId="0" fontId="6" fillId="0" borderId="0" xfId="0" applyFont="1" applyAlignment="1">
      <alignment horizontal="left" vertical="center" readingOrder="2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7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3" fillId="0" borderId="7" xfId="2" applyBorder="1" applyAlignment="1">
      <alignment horizontal="left" vertical="center" wrapText="1"/>
    </xf>
    <xf numFmtId="0" fontId="7" fillId="0" borderId="6" xfId="2" applyFont="1" applyBorder="1" applyAlignment="1">
      <alignment horizontal="left"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3" fillId="0" borderId="7" xfId="2" applyBorder="1" applyAlignment="1">
      <alignment horizontal="left"/>
    </xf>
    <xf numFmtId="0" fontId="7" fillId="0" borderId="6" xfId="2" applyFont="1" applyBorder="1" applyAlignment="1">
      <alignment horizontal="left"/>
    </xf>
    <xf numFmtId="0" fontId="7" fillId="0" borderId="5" xfId="2" applyFont="1" applyBorder="1" applyAlignment="1">
      <alignment horizontal="left"/>
    </xf>
    <xf numFmtId="0" fontId="10" fillId="0" borderId="0" xfId="0" applyFont="1" applyAlignment="1">
      <alignment horizontal="center"/>
    </xf>
  </cellXfs>
  <cellStyles count="4">
    <cellStyle name="Comma" xfId="1" builtinId="3"/>
    <cellStyle name="Comma [0] 2" xfId="3" xr:uid="{51DADC12-4CE4-4A84-A62E-D4B44564AE6E}"/>
    <cellStyle name="Normal" xfId="0" builtinId="0"/>
    <cellStyle name="Normal 2" xfId="2" xr:uid="{F5E7DD2A-A7AB-48B9-BE5A-F87B3EF9A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473</xdr:rowOff>
    </xdr:from>
    <xdr:to>
      <xdr:col>4</xdr:col>
      <xdr:colOff>270895</xdr:colOff>
      <xdr:row>5</xdr:row>
      <xdr:rowOff>80503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C20C2-9020-410D-9466-E4ED6FE6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"/>
          <a:ext cx="2553929" cy="994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579114</xdr:colOff>
      <xdr:row>37</xdr:row>
      <xdr:rowOff>118894</xdr:rowOff>
    </xdr:from>
    <xdr:to>
      <xdr:col>9</xdr:col>
      <xdr:colOff>229024</xdr:colOff>
      <xdr:row>44</xdr:row>
      <xdr:rowOff>5206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7FCB63-F061-B5D7-67BA-1480B8DE4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4731" y="7155234"/>
          <a:ext cx="1290452" cy="1156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101672</xdr:colOff>
      <xdr:row>32</xdr:row>
      <xdr:rowOff>169612</xdr:rowOff>
    </xdr:from>
    <xdr:to>
      <xdr:col>10</xdr:col>
      <xdr:colOff>582035</xdr:colOff>
      <xdr:row>48</xdr:row>
      <xdr:rowOff>101968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E13438-4F7E-68A1-6127-4C56348A3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>
                      <a14:foregroundMark x1="46888" y1="53642" x2="50207" y2="55099"/>
                      <a14:foregroundMark x1="51926" y1="48874" x2="54120" y2="50596"/>
                      <a14:foregroundMark x1="31002" y1="62517" x2="37463" y2="61325"/>
                      <a14:foregroundMark x1="59336" y1="57748" x2="63900" y2="5827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634258" y="7014474"/>
          <a:ext cx="3121087" cy="28752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473</xdr:rowOff>
    </xdr:from>
    <xdr:to>
      <xdr:col>3</xdr:col>
      <xdr:colOff>344129</xdr:colOff>
      <xdr:row>5</xdr:row>
      <xdr:rowOff>80503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D9B243-EE1D-4D5E-E258-35A60CA1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"/>
          <a:ext cx="2571514" cy="959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D0CB-1F5D-4290-808E-AE5E9CA60657}">
  <sheetPr>
    <pageSetUpPr fitToPage="1"/>
  </sheetPr>
  <dimension ref="B6:K51"/>
  <sheetViews>
    <sheetView tabSelected="1" view="pageBreakPreview" topLeftCell="A6" zoomScale="70" zoomScaleNormal="46" zoomScaleSheetLayoutView="70" workbookViewId="0">
      <selection activeCell="N41" sqref="N41"/>
    </sheetView>
  </sheetViews>
  <sheetFormatPr defaultRowHeight="15" x14ac:dyDescent="0.25"/>
  <cols>
    <col min="1" max="1" width="6.5703125" customWidth="1"/>
    <col min="3" max="3" width="9.7109375" customWidth="1"/>
    <col min="4" max="4" width="14.42578125" bestFit="1" customWidth="1"/>
    <col min="5" max="5" width="10.140625" customWidth="1"/>
    <col min="6" max="6" width="5.28515625" bestFit="1" customWidth="1"/>
    <col min="7" max="7" width="11.28515625" customWidth="1"/>
    <col min="8" max="8" width="17.85546875" bestFit="1" customWidth="1"/>
    <col min="9" max="9" width="6.28515625" customWidth="1"/>
    <col min="10" max="10" width="14.42578125" customWidth="1"/>
    <col min="11" max="11" width="21.28515625" bestFit="1" customWidth="1"/>
    <col min="12" max="12" width="6.140625" customWidth="1"/>
  </cols>
  <sheetData>
    <row r="6" spans="2:11" ht="23.25" x14ac:dyDescent="0.35">
      <c r="E6" s="49" t="s">
        <v>0</v>
      </c>
      <c r="F6" s="49"/>
      <c r="G6" s="49"/>
      <c r="H6" s="49"/>
      <c r="I6" s="49"/>
      <c r="J6" s="25"/>
    </row>
    <row r="7" spans="2:11" ht="14.45" customHeight="1" x14ac:dyDescent="0.25">
      <c r="E7" s="47" t="s">
        <v>48</v>
      </c>
      <c r="F7" s="47"/>
      <c r="G7" s="47"/>
      <c r="H7" s="47"/>
      <c r="I7" s="47"/>
    </row>
    <row r="11" spans="2:11" x14ac:dyDescent="0.25">
      <c r="B11" s="7"/>
      <c r="C11" s="7" t="s">
        <v>12</v>
      </c>
      <c r="D11" s="2"/>
      <c r="E11" s="2"/>
      <c r="J11" s="2" t="s">
        <v>2</v>
      </c>
      <c r="K11" t="s">
        <v>49</v>
      </c>
    </row>
    <row r="12" spans="2:11" x14ac:dyDescent="0.25">
      <c r="B12" s="7"/>
      <c r="C12" s="7"/>
      <c r="D12" s="2"/>
      <c r="E12" s="2"/>
      <c r="J12" s="2" t="s">
        <v>3</v>
      </c>
      <c r="K12" t="s">
        <v>9</v>
      </c>
    </row>
    <row r="13" spans="2:11" x14ac:dyDescent="0.25">
      <c r="B13" s="2"/>
      <c r="C13" s="3" t="s">
        <v>53</v>
      </c>
      <c r="D13" s="4"/>
      <c r="E13" s="4"/>
      <c r="J13" s="2" t="s">
        <v>4</v>
      </c>
      <c r="K13" t="s">
        <v>10</v>
      </c>
    </row>
    <row r="14" spans="2:11" ht="15.75" x14ac:dyDescent="0.25">
      <c r="B14" s="2"/>
      <c r="C14" s="46" t="s">
        <v>54</v>
      </c>
      <c r="D14" s="6"/>
      <c r="E14" s="6"/>
      <c r="J14" s="2" t="s">
        <v>5</v>
      </c>
      <c r="K14" t="s">
        <v>8</v>
      </c>
    </row>
    <row r="15" spans="2:11" x14ac:dyDescent="0.25">
      <c r="B15" s="5"/>
      <c r="C15" s="3"/>
      <c r="D15" s="3"/>
      <c r="E15" s="3"/>
      <c r="J15" s="2" t="s">
        <v>6</v>
      </c>
      <c r="K15" t="s">
        <v>46</v>
      </c>
    </row>
    <row r="16" spans="2:11" x14ac:dyDescent="0.25">
      <c r="B16" s="2"/>
      <c r="C16" s="2"/>
      <c r="D16" s="2"/>
      <c r="E16" s="2"/>
    </row>
    <row r="17" spans="2:11" x14ac:dyDescent="0.25">
      <c r="B17" s="2"/>
      <c r="C17" s="2"/>
      <c r="D17" s="2"/>
      <c r="E17" s="2"/>
    </row>
    <row r="18" spans="2:11" x14ac:dyDescent="0.25">
      <c r="B18" s="8" t="s">
        <v>15</v>
      </c>
    </row>
    <row r="20" spans="2:11" x14ac:dyDescent="0.25">
      <c r="B20" s="9" t="s">
        <v>16</v>
      </c>
      <c r="C20" s="50" t="s">
        <v>17</v>
      </c>
      <c r="D20" s="51"/>
      <c r="E20" s="52"/>
      <c r="F20" s="9" t="s">
        <v>18</v>
      </c>
      <c r="G20" s="10" t="s">
        <v>19</v>
      </c>
      <c r="H20" s="9" t="s">
        <v>20</v>
      </c>
      <c r="I20" s="9"/>
      <c r="J20" s="11" t="s">
        <v>21</v>
      </c>
      <c r="K20" s="9" t="s">
        <v>22</v>
      </c>
    </row>
    <row r="21" spans="2:11" ht="42" customHeight="1" thickBot="1" x14ac:dyDescent="0.3">
      <c r="B21" s="11">
        <v>1</v>
      </c>
      <c r="C21" s="53" t="s">
        <v>50</v>
      </c>
      <c r="D21" s="54"/>
      <c r="E21" s="55"/>
      <c r="F21" s="42">
        <v>2</v>
      </c>
      <c r="G21" s="43" t="s">
        <v>45</v>
      </c>
      <c r="H21" s="42"/>
      <c r="I21" s="42"/>
      <c r="J21" s="45">
        <v>7465000</v>
      </c>
      <c r="K21" s="44">
        <f>J21*F21</f>
        <v>14930000</v>
      </c>
    </row>
    <row r="22" spans="2:11" ht="15.75" thickBot="1" x14ac:dyDescent="0.3">
      <c r="B22" s="35" t="s">
        <v>23</v>
      </c>
      <c r="C22" s="12"/>
      <c r="D22" s="13" t="s">
        <v>51</v>
      </c>
      <c r="E22" s="13"/>
      <c r="F22" s="14"/>
      <c r="G22" s="31"/>
      <c r="H22" s="33" t="s">
        <v>24</v>
      </c>
      <c r="I22" s="23"/>
      <c r="J22" s="23"/>
      <c r="K22" s="39">
        <f>SUM(K21:K21)</f>
        <v>14930000</v>
      </c>
    </row>
    <row r="23" spans="2:11" x14ac:dyDescent="0.25">
      <c r="B23" s="15" t="s">
        <v>25</v>
      </c>
      <c r="C23" s="15"/>
      <c r="D23" s="15" t="s">
        <v>52</v>
      </c>
      <c r="E23" s="24"/>
      <c r="F23" s="16"/>
      <c r="G23" s="2"/>
      <c r="H23" s="17" t="s">
        <v>26</v>
      </c>
      <c r="I23" s="18"/>
      <c r="J23" s="18"/>
      <c r="K23" s="40"/>
    </row>
    <row r="24" spans="2:11" ht="15.75" thickBot="1" x14ac:dyDescent="0.3">
      <c r="B24" s="24"/>
      <c r="C24" s="24"/>
      <c r="D24" s="24"/>
      <c r="E24" s="24"/>
      <c r="F24" s="16"/>
      <c r="G24" s="2"/>
      <c r="H24" s="17" t="s">
        <v>47</v>
      </c>
      <c r="I24" s="18"/>
      <c r="J24" s="18"/>
      <c r="K24" s="40"/>
    </row>
    <row r="25" spans="2:11" ht="15.75" thickBot="1" x14ac:dyDescent="0.3">
      <c r="B25" s="2"/>
      <c r="C25" s="2"/>
      <c r="D25" s="2"/>
      <c r="E25" s="2"/>
      <c r="F25" s="16"/>
      <c r="G25" s="2"/>
      <c r="H25" s="19" t="s">
        <v>27</v>
      </c>
      <c r="I25" s="20"/>
      <c r="J25" s="20"/>
      <c r="K25" s="41"/>
    </row>
    <row r="26" spans="2:11" ht="15.75" thickBot="1" x14ac:dyDescent="0.3">
      <c r="B26" s="2"/>
      <c r="C26" s="2"/>
      <c r="D26" s="2"/>
      <c r="E26" s="2"/>
      <c r="F26" s="16"/>
      <c r="G26" s="2"/>
      <c r="H26" s="21" t="s">
        <v>28</v>
      </c>
      <c r="I26" s="21"/>
      <c r="J26" s="21"/>
      <c r="K26" s="41"/>
    </row>
    <row r="27" spans="2:11" ht="15.75" thickBot="1" x14ac:dyDescent="0.3">
      <c r="B27" s="2"/>
      <c r="C27" s="2"/>
      <c r="D27" s="2"/>
      <c r="E27" s="2"/>
      <c r="F27" s="16"/>
      <c r="G27" s="22"/>
      <c r="H27" s="23" t="s">
        <v>22</v>
      </c>
      <c r="I27" s="23"/>
      <c r="J27" s="23"/>
      <c r="K27" s="41">
        <f>SUM(K22:K26)</f>
        <v>14930000</v>
      </c>
    </row>
    <row r="29" spans="2:11" x14ac:dyDescent="0.25">
      <c r="B29" s="5" t="s">
        <v>29</v>
      </c>
    </row>
    <row r="30" spans="2:11" x14ac:dyDescent="0.25">
      <c r="B30" s="34" t="s">
        <v>30</v>
      </c>
    </row>
    <row r="31" spans="2:11" x14ac:dyDescent="0.25">
      <c r="B31" s="2" t="s">
        <v>31</v>
      </c>
    </row>
    <row r="32" spans="2:11" x14ac:dyDescent="0.25">
      <c r="B32" s="34" t="s">
        <v>32</v>
      </c>
    </row>
    <row r="33" spans="2:11" x14ac:dyDescent="0.25">
      <c r="B33" s="2" t="s">
        <v>33</v>
      </c>
    </row>
    <row r="34" spans="2:11" x14ac:dyDescent="0.25">
      <c r="B34" s="2" t="s">
        <v>34</v>
      </c>
    </row>
    <row r="35" spans="2:11" x14ac:dyDescent="0.25">
      <c r="B35" s="2"/>
    </row>
    <row r="36" spans="2:11" x14ac:dyDescent="0.25">
      <c r="B36" s="2"/>
    </row>
    <row r="38" spans="2:11" x14ac:dyDescent="0.25">
      <c r="B38" s="8"/>
      <c r="C38" s="8"/>
      <c r="D38" s="8"/>
      <c r="E38" s="8"/>
      <c r="F38" s="8"/>
      <c r="G38" s="8"/>
      <c r="H38" s="48" t="s">
        <v>35</v>
      </c>
      <c r="I38" s="48"/>
      <c r="J38" s="48"/>
      <c r="K38" s="8"/>
    </row>
    <row r="39" spans="2:1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2:1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2:11" x14ac:dyDescent="0.25">
      <c r="B41" s="8"/>
      <c r="C41" s="8"/>
      <c r="D41" s="8"/>
      <c r="E41" s="8"/>
      <c r="F41" s="8"/>
      <c r="G41" s="8"/>
      <c r="H41" s="8"/>
      <c r="J41" s="8"/>
      <c r="K41" s="8"/>
    </row>
    <row r="42" spans="2:1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2:1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2:11" x14ac:dyDescent="0.25">
      <c r="B44" s="8"/>
      <c r="C44" s="8"/>
      <c r="D44" s="8"/>
      <c r="E44" s="8"/>
      <c r="F44" s="8"/>
      <c r="G44" s="8"/>
      <c r="H44" s="48" t="s">
        <v>38</v>
      </c>
      <c r="I44" s="48"/>
      <c r="J44" s="48"/>
      <c r="K44" s="8"/>
    </row>
    <row r="45" spans="2:11" x14ac:dyDescent="0.25">
      <c r="B45" s="8"/>
      <c r="C45" s="8"/>
      <c r="D45" s="8"/>
      <c r="E45" s="8"/>
      <c r="F45" s="8"/>
      <c r="G45" s="8"/>
      <c r="H45" s="36"/>
      <c r="I45" s="36"/>
      <c r="J45" s="36"/>
      <c r="K45" s="8"/>
    </row>
    <row r="46" spans="2:11" x14ac:dyDescent="0.25">
      <c r="B46" s="8"/>
      <c r="C46" s="8"/>
      <c r="D46" s="8"/>
      <c r="E46" s="8"/>
      <c r="F46" s="8"/>
      <c r="G46" s="8"/>
      <c r="H46" s="36"/>
      <c r="I46" s="36"/>
      <c r="J46" s="36"/>
      <c r="K46" s="8"/>
    </row>
    <row r="47" spans="2:11" x14ac:dyDescent="0.25">
      <c r="B47" s="8"/>
      <c r="C47" s="8"/>
      <c r="D47" s="8"/>
      <c r="E47" s="8"/>
      <c r="F47" s="8"/>
      <c r="G47" s="8"/>
      <c r="H47" s="36"/>
      <c r="I47" s="36"/>
      <c r="J47" s="36"/>
      <c r="K47" s="8"/>
    </row>
    <row r="48" spans="2:11" x14ac:dyDescent="0.25">
      <c r="B48" s="8"/>
      <c r="C48" s="8"/>
      <c r="D48" s="8"/>
      <c r="E48" s="8"/>
      <c r="F48" s="8"/>
      <c r="G48" s="8"/>
      <c r="H48" s="36"/>
      <c r="I48" s="36"/>
      <c r="J48" s="36"/>
      <c r="K48" s="8"/>
    </row>
    <row r="50" spans="2:11" x14ac:dyDescent="0.25">
      <c r="B50" s="47" t="s">
        <v>42</v>
      </c>
      <c r="C50" s="47"/>
      <c r="D50" s="47"/>
      <c r="E50" s="47"/>
      <c r="F50" s="47"/>
      <c r="G50" s="47"/>
      <c r="H50" s="47"/>
      <c r="I50" s="47"/>
      <c r="J50" s="47"/>
      <c r="K50" s="47"/>
    </row>
    <row r="51" spans="2:11" x14ac:dyDescent="0.25">
      <c r="B51" s="47" t="s">
        <v>43</v>
      </c>
      <c r="C51" s="47"/>
      <c r="D51" s="47"/>
      <c r="E51" s="47"/>
      <c r="F51" s="47"/>
      <c r="G51" s="47"/>
      <c r="H51" s="47"/>
      <c r="I51" s="47"/>
      <c r="J51" s="47"/>
      <c r="K51" s="47"/>
    </row>
  </sheetData>
  <mergeCells count="8">
    <mergeCell ref="B50:K50"/>
    <mergeCell ref="B51:K51"/>
    <mergeCell ref="H38:J38"/>
    <mergeCell ref="H44:J44"/>
    <mergeCell ref="E6:I6"/>
    <mergeCell ref="E7:I7"/>
    <mergeCell ref="C20:E20"/>
    <mergeCell ref="C21:E21"/>
  </mergeCells>
  <pageMargins left="0.25" right="0.25" top="0.75" bottom="0.75" header="0.3" footer="0.3"/>
  <pageSetup paperSize="9" scale="7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8CA7-422E-4B71-BF61-2D3D1C4AD449}">
  <sheetPr>
    <pageSetUpPr fitToPage="1"/>
  </sheetPr>
  <dimension ref="A6:J52"/>
  <sheetViews>
    <sheetView view="pageBreakPreview" topLeftCell="A6" zoomScale="70" zoomScaleNormal="46" zoomScaleSheetLayoutView="70" workbookViewId="0">
      <selection activeCell="A22" sqref="A22:J26"/>
    </sheetView>
  </sheetViews>
  <sheetFormatPr defaultRowHeight="15" x14ac:dyDescent="0.25"/>
  <cols>
    <col min="3" max="3" width="14.42578125" bestFit="1" customWidth="1"/>
    <col min="4" max="4" width="10.140625" customWidth="1"/>
    <col min="5" max="5" width="5.28515625" bestFit="1" customWidth="1"/>
    <col min="6" max="6" width="11.28515625" customWidth="1"/>
    <col min="7" max="7" width="12.85546875" bestFit="1" customWidth="1"/>
    <col min="8" max="8" width="6.28515625" customWidth="1"/>
    <col min="9" max="9" width="15.85546875" customWidth="1"/>
    <col min="10" max="10" width="16.7109375" customWidth="1"/>
  </cols>
  <sheetData>
    <row r="6" spans="1:10" ht="23.25" x14ac:dyDescent="0.35">
      <c r="D6" s="49" t="s">
        <v>0</v>
      </c>
      <c r="E6" s="49"/>
      <c r="F6" s="49"/>
      <c r="G6" s="49"/>
      <c r="H6" s="49"/>
      <c r="I6" s="25"/>
    </row>
    <row r="7" spans="1:10" ht="14.45" customHeight="1" x14ac:dyDescent="0.25">
      <c r="D7" s="47" t="s">
        <v>1</v>
      </c>
      <c r="E7" s="47"/>
      <c r="F7" s="47"/>
      <c r="G7" s="47"/>
      <c r="H7" s="47"/>
    </row>
    <row r="11" spans="1:10" x14ac:dyDescent="0.25">
      <c r="A11" s="7"/>
      <c r="B11" s="7" t="s">
        <v>12</v>
      </c>
      <c r="C11" s="2"/>
      <c r="D11" s="2"/>
      <c r="I11" s="2" t="s">
        <v>2</v>
      </c>
      <c r="J11" t="s">
        <v>7</v>
      </c>
    </row>
    <row r="12" spans="1:10" x14ac:dyDescent="0.25">
      <c r="A12" s="7"/>
      <c r="B12" s="7"/>
      <c r="C12" s="2"/>
      <c r="D12" s="2"/>
      <c r="I12" s="2" t="s">
        <v>3</v>
      </c>
      <c r="J12" t="s">
        <v>9</v>
      </c>
    </row>
    <row r="13" spans="1:10" x14ac:dyDescent="0.25">
      <c r="A13" s="2"/>
      <c r="B13" s="3" t="s">
        <v>13</v>
      </c>
      <c r="C13" s="4"/>
      <c r="D13" s="4"/>
      <c r="I13" s="2" t="s">
        <v>4</v>
      </c>
      <c r="J13" t="s">
        <v>10</v>
      </c>
    </row>
    <row r="14" spans="1:10" ht="15.75" x14ac:dyDescent="0.25">
      <c r="A14" s="2"/>
      <c r="B14" s="6" t="s">
        <v>14</v>
      </c>
      <c r="C14" s="6"/>
      <c r="D14" s="6"/>
      <c r="I14" s="2" t="s">
        <v>5</v>
      </c>
      <c r="J14" t="s">
        <v>8</v>
      </c>
    </row>
    <row r="15" spans="1:10" x14ac:dyDescent="0.25">
      <c r="A15" s="5"/>
      <c r="B15" s="3"/>
      <c r="C15" s="3"/>
      <c r="D15" s="3"/>
      <c r="I15" s="2" t="s">
        <v>6</v>
      </c>
      <c r="J15" t="s">
        <v>11</v>
      </c>
    </row>
    <row r="16" spans="1:10" x14ac:dyDescent="0.25">
      <c r="A16" s="2"/>
      <c r="B16" s="2"/>
      <c r="C16" s="2"/>
      <c r="D16" s="2"/>
    </row>
    <row r="17" spans="1:10" x14ac:dyDescent="0.25">
      <c r="A17" s="2"/>
      <c r="B17" s="2"/>
      <c r="C17" s="2"/>
      <c r="D17" s="2"/>
    </row>
    <row r="18" spans="1:10" x14ac:dyDescent="0.25">
      <c r="A18" s="8" t="s">
        <v>15</v>
      </c>
    </row>
    <row r="20" spans="1:10" x14ac:dyDescent="0.25">
      <c r="A20" s="9" t="s">
        <v>16</v>
      </c>
      <c r="B20" s="50" t="s">
        <v>17</v>
      </c>
      <c r="C20" s="51"/>
      <c r="D20" s="52"/>
      <c r="E20" s="9" t="s">
        <v>18</v>
      </c>
      <c r="F20" s="10" t="s">
        <v>19</v>
      </c>
      <c r="G20" s="9" t="s">
        <v>20</v>
      </c>
      <c r="H20" s="9"/>
      <c r="I20" s="11" t="s">
        <v>21</v>
      </c>
      <c r="J20" s="9" t="s">
        <v>22</v>
      </c>
    </row>
    <row r="21" spans="1:10" x14ac:dyDescent="0.25">
      <c r="A21" s="11">
        <v>1</v>
      </c>
      <c r="B21" s="59" t="s">
        <v>44</v>
      </c>
      <c r="C21" s="60"/>
      <c r="D21" s="61"/>
      <c r="E21" s="9"/>
      <c r="F21" s="10"/>
      <c r="G21" s="9"/>
      <c r="H21" s="9"/>
      <c r="I21" s="27"/>
      <c r="J21" s="38"/>
    </row>
    <row r="22" spans="1:10" x14ac:dyDescent="0.25">
      <c r="A22" s="11">
        <v>2</v>
      </c>
      <c r="B22" s="56"/>
      <c r="C22" s="57"/>
      <c r="D22" s="58"/>
      <c r="E22" s="9"/>
      <c r="F22" s="10"/>
      <c r="G22" s="9"/>
      <c r="H22" s="9"/>
      <c r="I22" s="27"/>
      <c r="J22" s="38"/>
    </row>
    <row r="23" spans="1:10" x14ac:dyDescent="0.25">
      <c r="A23" s="11">
        <v>3</v>
      </c>
      <c r="B23" s="56"/>
      <c r="C23" s="57"/>
      <c r="D23" s="58"/>
      <c r="E23" s="9"/>
      <c r="F23" s="10"/>
      <c r="G23" s="9"/>
      <c r="H23" s="9"/>
      <c r="I23" s="27"/>
      <c r="J23" s="38"/>
    </row>
    <row r="24" spans="1:10" x14ac:dyDescent="0.25">
      <c r="A24" s="11">
        <v>4</v>
      </c>
      <c r="B24" s="56"/>
      <c r="C24" s="57"/>
      <c r="D24" s="58"/>
      <c r="E24" s="9"/>
      <c r="F24" s="10"/>
      <c r="G24" s="9"/>
      <c r="H24" s="9"/>
      <c r="I24" s="27"/>
      <c r="J24" s="38"/>
    </row>
    <row r="25" spans="1:10" x14ac:dyDescent="0.25">
      <c r="A25" s="11">
        <v>5</v>
      </c>
      <c r="B25" s="56"/>
      <c r="C25" s="57"/>
      <c r="D25" s="58"/>
      <c r="E25" s="9"/>
      <c r="F25" s="10"/>
      <c r="G25" s="9"/>
      <c r="H25" s="9"/>
      <c r="I25" s="27"/>
      <c r="J25" s="38"/>
    </row>
    <row r="26" spans="1:10" ht="15.75" thickBot="1" x14ac:dyDescent="0.3">
      <c r="A26" s="11">
        <v>6</v>
      </c>
      <c r="B26" s="56"/>
      <c r="C26" s="57"/>
      <c r="D26" s="58"/>
      <c r="E26" s="9"/>
      <c r="F26" s="10"/>
      <c r="G26" s="32"/>
      <c r="H26" s="9"/>
      <c r="I26" s="30"/>
      <c r="J26" s="26"/>
    </row>
    <row r="27" spans="1:10" ht="15.75" thickBot="1" x14ac:dyDescent="0.3">
      <c r="A27" s="35" t="s">
        <v>23</v>
      </c>
      <c r="B27" s="12"/>
      <c r="C27" s="13"/>
      <c r="D27" s="13"/>
      <c r="E27" s="14"/>
      <c r="F27" s="31"/>
      <c r="G27" s="33" t="s">
        <v>24</v>
      </c>
      <c r="H27" s="23"/>
      <c r="I27" s="23"/>
      <c r="J27" s="39"/>
    </row>
    <row r="28" spans="1:10" x14ac:dyDescent="0.25">
      <c r="A28" s="15" t="s">
        <v>25</v>
      </c>
      <c r="B28" s="15"/>
      <c r="C28" s="15"/>
      <c r="D28" s="24"/>
      <c r="E28" s="16"/>
      <c r="F28" s="2"/>
      <c r="G28" s="17" t="s">
        <v>26</v>
      </c>
      <c r="H28" s="17"/>
      <c r="I28" s="18"/>
      <c r="J28" s="40"/>
    </row>
    <row r="29" spans="1:10" x14ac:dyDescent="0.25">
      <c r="A29" s="2"/>
      <c r="B29" s="2"/>
      <c r="C29" s="2"/>
      <c r="D29" s="2"/>
      <c r="E29" s="16"/>
      <c r="F29" s="2"/>
      <c r="G29" s="19" t="s">
        <v>27</v>
      </c>
      <c r="H29" s="19"/>
      <c r="I29" s="20"/>
      <c r="J29" s="28">
        <f>J27*I29</f>
        <v>0</v>
      </c>
    </row>
    <row r="30" spans="1:10" ht="15.75" thickBot="1" x14ac:dyDescent="0.3">
      <c r="A30" s="2"/>
      <c r="B30" s="2"/>
      <c r="C30" s="2"/>
      <c r="D30" s="2"/>
      <c r="E30" s="16"/>
      <c r="F30" s="2"/>
      <c r="G30" s="21" t="s">
        <v>28</v>
      </c>
      <c r="H30" s="21"/>
      <c r="I30" s="21"/>
      <c r="J30" s="29">
        <v>0</v>
      </c>
    </row>
    <row r="31" spans="1:10" ht="15.75" thickBot="1" x14ac:dyDescent="0.3">
      <c r="A31" s="2"/>
      <c r="B31" s="2"/>
      <c r="C31" s="2"/>
      <c r="D31" s="2"/>
      <c r="E31" s="16"/>
      <c r="F31" s="22"/>
      <c r="G31" s="23" t="s">
        <v>22</v>
      </c>
      <c r="H31" s="23"/>
      <c r="I31" s="23"/>
      <c r="J31" s="41">
        <f>SUM(J27:J30)</f>
        <v>0</v>
      </c>
    </row>
    <row r="33" spans="1:10" x14ac:dyDescent="0.25">
      <c r="A33" s="5" t="s">
        <v>29</v>
      </c>
    </row>
    <row r="34" spans="1:10" x14ac:dyDescent="0.25">
      <c r="A34" s="34" t="s">
        <v>30</v>
      </c>
    </row>
    <row r="35" spans="1:10" x14ac:dyDescent="0.25">
      <c r="A35" s="2" t="s">
        <v>31</v>
      </c>
    </row>
    <row r="36" spans="1:10" x14ac:dyDescent="0.25">
      <c r="A36" s="34" t="s">
        <v>32</v>
      </c>
    </row>
    <row r="37" spans="1:10" x14ac:dyDescent="0.25">
      <c r="A37" s="2" t="s">
        <v>33</v>
      </c>
    </row>
    <row r="38" spans="1:10" x14ac:dyDescent="0.25">
      <c r="A38" s="2" t="s">
        <v>34</v>
      </c>
    </row>
    <row r="39" spans="1:10" x14ac:dyDescent="0.25">
      <c r="A39" s="2"/>
    </row>
    <row r="41" spans="1:10" x14ac:dyDescent="0.25">
      <c r="A41" s="48" t="s">
        <v>35</v>
      </c>
      <c r="B41" s="48"/>
      <c r="C41" s="48"/>
      <c r="D41" s="8" t="s">
        <v>36</v>
      </c>
      <c r="F41" s="48" t="s">
        <v>37</v>
      </c>
      <c r="G41" s="48"/>
      <c r="H41" s="48"/>
      <c r="I41" s="48" t="s">
        <v>37</v>
      </c>
      <c r="J41" s="47"/>
    </row>
    <row r="47" spans="1:10" x14ac:dyDescent="0.25">
      <c r="A47" s="48" t="s">
        <v>38</v>
      </c>
      <c r="B47" s="48"/>
      <c r="C47" s="48"/>
      <c r="D47" s="36" t="s">
        <v>39</v>
      </c>
      <c r="F47" s="62" t="s">
        <v>40</v>
      </c>
      <c r="G47" s="62"/>
      <c r="H47" s="62"/>
      <c r="I47" s="48" t="s">
        <v>41</v>
      </c>
      <c r="J47" s="47"/>
    </row>
    <row r="48" spans="1:10" x14ac:dyDescent="0.25">
      <c r="A48" s="36"/>
      <c r="B48" s="36"/>
      <c r="C48" s="36"/>
      <c r="D48" s="36"/>
      <c r="F48" s="37"/>
      <c r="G48" s="37"/>
      <c r="H48" s="37"/>
      <c r="I48" s="36"/>
      <c r="J48" s="1"/>
    </row>
    <row r="51" spans="1:10" x14ac:dyDescent="0.25">
      <c r="A51" s="47" t="s">
        <v>42</v>
      </c>
      <c r="B51" s="47"/>
      <c r="C51" s="47"/>
      <c r="D51" s="47"/>
      <c r="E51" s="47"/>
      <c r="F51" s="47"/>
      <c r="G51" s="47"/>
      <c r="H51" s="47"/>
      <c r="I51" s="47"/>
      <c r="J51" s="47"/>
    </row>
    <row r="52" spans="1:10" x14ac:dyDescent="0.25">
      <c r="A52" s="47" t="s">
        <v>43</v>
      </c>
      <c r="B52" s="47"/>
      <c r="C52" s="47"/>
      <c r="D52" s="47"/>
      <c r="E52" s="47"/>
      <c r="F52" s="47"/>
      <c r="G52" s="47"/>
      <c r="H52" s="47"/>
      <c r="I52" s="47"/>
      <c r="J52" s="47"/>
    </row>
  </sheetData>
  <mergeCells count="17">
    <mergeCell ref="A52:J52"/>
    <mergeCell ref="I47:J47"/>
    <mergeCell ref="F47:H47"/>
    <mergeCell ref="F41:H41"/>
    <mergeCell ref="A47:C47"/>
    <mergeCell ref="A41:C41"/>
    <mergeCell ref="I41:J41"/>
    <mergeCell ref="B22:D22"/>
    <mergeCell ref="B23:D23"/>
    <mergeCell ref="D6:H6"/>
    <mergeCell ref="D7:H7"/>
    <mergeCell ref="A51:J51"/>
    <mergeCell ref="B24:D24"/>
    <mergeCell ref="B25:D25"/>
    <mergeCell ref="B26:D26"/>
    <mergeCell ref="B20:D20"/>
    <mergeCell ref="B21:D21"/>
  </mergeCells>
  <pageMargins left="0.25" right="0.25" top="0.75" bottom="0.75" header="0.3" footer="0.3"/>
  <pageSetup paperSize="9" scale="8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 (2)</vt:lpstr>
      <vt:lpstr>Sheet1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 Sedaap</dc:creator>
  <cp:lastModifiedBy>Mie Sedaap</cp:lastModifiedBy>
  <cp:lastPrinted>2026-07-22T09:11:58Z</cp:lastPrinted>
  <dcterms:created xsi:type="dcterms:W3CDTF">2026-06-15T08:20:43Z</dcterms:created>
  <dcterms:modified xsi:type="dcterms:W3CDTF">2026-09-25T17:29:04Z</dcterms:modified>
</cp:coreProperties>
</file>